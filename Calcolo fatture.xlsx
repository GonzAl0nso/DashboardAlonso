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ralbahealthcarespa-my.sharepoint.com/personal/michele_sanginesi_peralbahc_com/Documents/DIREZIONE AMMINISTRATIVA/RESPONSABILE CONTABILITA E BILANCIO/CLAUDE/Fatture/"/>
    </mc:Choice>
  </mc:AlternateContent>
  <xr:revisionPtr revIDLastSave="0" documentId="8_{ADB1899D-CB6E-474A-81B2-DAAC3A727E61}" xr6:coauthVersionLast="47" xr6:coauthVersionMax="47" xr10:uidLastSave="{00000000-0000-0000-0000-000000000000}"/>
  <bookViews>
    <workbookView xWindow="-23148" yWindow="-108" windowWidth="23256" windowHeight="12456" firstSheet="1" activeTab="1" xr2:uid="{B362075A-B8FE-480C-9D22-20C42C0DAA90}"/>
  </bookViews>
  <sheets>
    <sheet name="Assegnazione" sheetId="6" r:id="rId1"/>
    <sheet name="Auto" sheetId="4" r:id="rId2"/>
    <sheet name="Cellulare" sheetId="3" r:id="rId3"/>
    <sheet name="Interinale" sheetId="5" r:id="rId4"/>
  </sheets>
  <definedNames>
    <definedName name="_xlnm._FilterDatabase" localSheetId="0" hidden="1">Assegnazione!$A$1:$E$1</definedName>
    <definedName name="_xlnm._FilterDatabase" localSheetId="1" hidden="1">Auto!$L$4:$N$4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E13" i="5"/>
  <c r="D13" i="5"/>
  <c r="C12" i="4"/>
  <c r="C13" i="4"/>
  <c r="F12" i="4"/>
  <c r="F13" i="4"/>
  <c r="C11" i="4"/>
  <c r="L15" i="3"/>
  <c r="J8" i="3"/>
  <c r="K8" i="3" s="1"/>
  <c r="L12" i="3" s="1"/>
  <c r="K4" i="3"/>
  <c r="L4" i="3" s="1"/>
  <c r="K3" i="3"/>
  <c r="L13" i="3" s="1"/>
  <c r="D4" i="3"/>
  <c r="U7" i="3"/>
  <c r="U8" i="3"/>
  <c r="U6" i="3"/>
  <c r="E15" i="3"/>
  <c r="C8" i="3"/>
  <c r="D8" i="3"/>
  <c r="E12" i="3" s="1"/>
  <c r="E4" i="3"/>
  <c r="D3" i="3"/>
  <c r="C9" i="4"/>
  <c r="C10" i="4"/>
  <c r="C15" i="4"/>
  <c r="E14" i="3" l="1"/>
  <c r="E13" i="3"/>
  <c r="I12" i="4"/>
  <c r="J12" i="4"/>
  <c r="G12" i="4"/>
  <c r="H12" i="4"/>
  <c r="C14" i="4"/>
  <c r="D14" i="4" s="1"/>
  <c r="G11" i="4"/>
  <c r="H11" i="4"/>
  <c r="F11" i="4"/>
  <c r="H5" i="4"/>
  <c r="F10" i="4"/>
  <c r="G10" i="4"/>
  <c r="H10" i="4"/>
  <c r="G9" i="4"/>
  <c r="H9" i="4"/>
  <c r="G8" i="4"/>
  <c r="H8" i="4"/>
  <c r="G7" i="4"/>
  <c r="H7" i="4"/>
  <c r="G6" i="4"/>
  <c r="H6" i="4"/>
  <c r="H15" i="4"/>
  <c r="G15" i="4"/>
  <c r="F15" i="4"/>
  <c r="J15" i="4"/>
  <c r="I15" i="4"/>
  <c r="C30" i="4" s="1"/>
  <c r="D15" i="4"/>
  <c r="F9" i="4"/>
  <c r="F8" i="4"/>
  <c r="F6" i="4"/>
  <c r="F5" i="4"/>
  <c r="F7" i="4"/>
  <c r="L3" i="3"/>
  <c r="L5" i="3" s="1"/>
  <c r="M11" i="3" s="1"/>
  <c r="E3" i="3"/>
  <c r="E5" i="3" s="1"/>
  <c r="F11" i="3" s="1"/>
  <c r="G5" i="4"/>
  <c r="G14" i="4" s="1"/>
  <c r="F14" i="4" l="1"/>
  <c r="H14" i="4"/>
  <c r="H16" i="4"/>
  <c r="I11" i="4"/>
  <c r="J11" i="4"/>
  <c r="I10" i="4"/>
  <c r="J10" i="4"/>
  <c r="I9" i="4"/>
  <c r="J9" i="4"/>
  <c r="I8" i="4"/>
  <c r="J8" i="4"/>
  <c r="I7" i="4"/>
  <c r="J7" i="4"/>
  <c r="I6" i="4"/>
  <c r="J6" i="4"/>
  <c r="J5" i="4"/>
  <c r="J14" i="4" s="1"/>
  <c r="I5" i="4"/>
  <c r="I14" i="4" s="1"/>
  <c r="C16" i="4"/>
  <c r="D16" i="4"/>
  <c r="F16" i="4"/>
  <c r="G16" i="4"/>
  <c r="C27" i="4" s="1"/>
  <c r="B21" i="4" l="1"/>
  <c r="C21" i="4" s="1"/>
  <c r="D26" i="4"/>
  <c r="C28" i="4"/>
  <c r="J16" i="4"/>
  <c r="C29" i="4"/>
  <c r="I16" i="4"/>
  <c r="D20" i="4" l="1"/>
</calcChain>
</file>

<file path=xl/sharedStrings.xml><?xml version="1.0" encoding="utf-8"?>
<sst xmlns="http://schemas.openxmlformats.org/spreadsheetml/2006/main" count="273" uniqueCount="146">
  <si>
    <t>Targa</t>
  </si>
  <si>
    <t>Centro di costo</t>
  </si>
  <si>
    <t>Tipologia</t>
  </si>
  <si>
    <t>Modello</t>
  </si>
  <si>
    <t>Assegnazione</t>
  </si>
  <si>
    <t xml:space="preserve">FP781CW </t>
  </si>
  <si>
    <t>VEVIGONOVOCRC</t>
  </si>
  <si>
    <t>Autocarro</t>
  </si>
  <si>
    <t>caspi</t>
  </si>
  <si>
    <t>no</t>
  </si>
  <si>
    <t xml:space="preserve">GJ426VV </t>
  </si>
  <si>
    <t>VEHQSTR</t>
  </si>
  <si>
    <t>Autovettura</t>
  </si>
  <si>
    <t>Tucson 1.6 CRDI 48V DCT XLine</t>
  </si>
  <si>
    <t>fringe benefit</t>
  </si>
  <si>
    <t xml:space="preserve">GL955PE </t>
  </si>
  <si>
    <t xml:space="preserve"> VEJESOLOCRC</t>
  </si>
  <si>
    <t>OPEL Corsa 1.5 D 100 CV Edition</t>
  </si>
  <si>
    <t xml:space="preserve">GL960PE </t>
  </si>
  <si>
    <t xml:space="preserve">GM655PE </t>
  </si>
  <si>
    <t xml:space="preserve">GM965ZY </t>
  </si>
  <si>
    <t>VEHQAMM</t>
  </si>
  <si>
    <t>A4 Avant 30 Tdi 136 Cv</t>
  </si>
  <si>
    <t xml:space="preserve">GP433MR </t>
  </si>
  <si>
    <t>VEHQGES</t>
  </si>
  <si>
    <t xml:space="preserve">GS784RK </t>
  </si>
  <si>
    <t>VEHQACQ</t>
  </si>
  <si>
    <t>KIA  Xceed 1.6 Crdi 136 Cv Mhev Dct Business</t>
  </si>
  <si>
    <t xml:space="preserve">GW527NN </t>
  </si>
  <si>
    <t>VEHQRIU</t>
  </si>
  <si>
    <t>Tonale 1 6 Diesel 130 Cv Tct6 Sprint</t>
  </si>
  <si>
    <t xml:space="preserve">GY375AS </t>
  </si>
  <si>
    <t>VEHQSIC</t>
  </si>
  <si>
    <t>PEUGEOT  308 Bluehdi 130 S&amp;S Eat8 Sw Allure</t>
  </si>
  <si>
    <t xml:space="preserve">GZ850SP </t>
  </si>
  <si>
    <t>VEHQRFS</t>
  </si>
  <si>
    <t xml:space="preserve">KIA SPORTAGE 1 6 Crdi Mhev </t>
  </si>
  <si>
    <t xml:space="preserve">GZ851SP </t>
  </si>
  <si>
    <t>VEHQQGC</t>
  </si>
  <si>
    <t xml:space="preserve">HA512AF </t>
  </si>
  <si>
    <t xml:space="preserve">Renault Clio 100 CV. 1.5 DCI </t>
  </si>
  <si>
    <t xml:space="preserve">HA970XA </t>
  </si>
  <si>
    <t>DS 7 Bluehdi 130</t>
  </si>
  <si>
    <t xml:space="preserve">HB344BJ </t>
  </si>
  <si>
    <t>BMW X2 sDRIVE 18d</t>
  </si>
  <si>
    <t xml:space="preserve">HB370BJ </t>
  </si>
  <si>
    <t>VEHQDIR</t>
  </si>
  <si>
    <t>BMW X3 20D XDRIVE</t>
  </si>
  <si>
    <t xml:space="preserve">HB893TA </t>
  </si>
  <si>
    <t xml:space="preserve">HA360XA </t>
  </si>
  <si>
    <t>Sportage 1 6 Crdi Mhev Dct Business</t>
  </si>
  <si>
    <t xml:space="preserve">HA361XA </t>
  </si>
  <si>
    <t>HC520BK</t>
  </si>
  <si>
    <t>Tiguan 2 0 Tdi 150 Cv Dsg Edition Plus</t>
  </si>
  <si>
    <t>FATTURA NOLEGGIO</t>
  </si>
  <si>
    <t>Canone</t>
  </si>
  <si>
    <t>Assicurazione</t>
  </si>
  <si>
    <t>Totale</t>
  </si>
  <si>
    <t>Base Imp.</t>
  </si>
  <si>
    <t>Iva det.</t>
  </si>
  <si>
    <t>iva indet.</t>
  </si>
  <si>
    <t>costo ded.</t>
  </si>
  <si>
    <t>costo inded.</t>
  </si>
  <si>
    <t>Modelo</t>
  </si>
  <si>
    <t>HB370BJ - VEHQDIR</t>
  </si>
  <si>
    <t>FP781CW - VEVIGONOVOCRC</t>
  </si>
  <si>
    <t>Furgone</t>
  </si>
  <si>
    <t>Fiat Ducato</t>
  </si>
  <si>
    <t>GZ850SP - VEHQRFS</t>
  </si>
  <si>
    <t>GJ426VV - VEHQSTR</t>
  </si>
  <si>
    <t>HA360XA - VEHQACQ</t>
  </si>
  <si>
    <t>GL955PE  - VEJESOLOCRC</t>
  </si>
  <si>
    <t>HA970XA - VEHQRIU</t>
  </si>
  <si>
    <t>GL960PE  - VEJESOLOCRC</t>
  </si>
  <si>
    <t>GZ851SP - VEHQQGC</t>
  </si>
  <si>
    <t>GM655PE - VEVIGONOVOCRC</t>
  </si>
  <si>
    <t>HA361XA - VEHQSIC</t>
  </si>
  <si>
    <t>GM965ZY - VEHQAMM</t>
  </si>
  <si>
    <t>HB893TA - VEHQAMM</t>
  </si>
  <si>
    <t>GP433MR - VEHQGES</t>
  </si>
  <si>
    <t>GS784RK - VEHQACQ</t>
  </si>
  <si>
    <t>GW527NN - VEHQRIU</t>
  </si>
  <si>
    <t>GY375AS - VEHQSIC</t>
  </si>
  <si>
    <t>Incasso</t>
  </si>
  <si>
    <t>HA512AF - VEHQAMM</t>
  </si>
  <si>
    <t>HB344BJ - VEHQGES</t>
  </si>
  <si>
    <t>Codice</t>
  </si>
  <si>
    <t>Imponibile</t>
  </si>
  <si>
    <t>Imposta</t>
  </si>
  <si>
    <t>D2240</t>
  </si>
  <si>
    <t>HC520BK - VEHQSTR</t>
  </si>
  <si>
    <t>Conto</t>
  </si>
  <si>
    <t>Descrizione</t>
  </si>
  <si>
    <t>Dare</t>
  </si>
  <si>
    <t>Avere</t>
  </si>
  <si>
    <t>000000748</t>
  </si>
  <si>
    <t>Fornitore</t>
  </si>
  <si>
    <t>010503001</t>
  </si>
  <si>
    <t>Credito IVA</t>
  </si>
  <si>
    <t>30401009</t>
  </si>
  <si>
    <t>Noleggio autovettura indeducibile</t>
  </si>
  <si>
    <t>30401004</t>
  </si>
  <si>
    <t>Noleggio autovettura deducibile</t>
  </si>
  <si>
    <t>30203046</t>
  </si>
  <si>
    <t>Spese incasso accesorie fornitori</t>
  </si>
  <si>
    <t>Costo</t>
  </si>
  <si>
    <t>Cespite</t>
  </si>
  <si>
    <t>Fattura Wind</t>
  </si>
  <si>
    <t>Commissioni</t>
  </si>
  <si>
    <t>Fattura</t>
  </si>
  <si>
    <t>Data</t>
  </si>
  <si>
    <t>Dettaglio</t>
  </si>
  <si>
    <t>Rata 1/12</t>
  </si>
  <si>
    <t>Debito</t>
  </si>
  <si>
    <t>15 S25</t>
  </si>
  <si>
    <t>Cod. IVA</t>
  </si>
  <si>
    <t>5 tablet</t>
  </si>
  <si>
    <t>D2250</t>
  </si>
  <si>
    <t>1 17Pro</t>
  </si>
  <si>
    <t>00000141</t>
  </si>
  <si>
    <t>TIM Spa</t>
  </si>
  <si>
    <t>Crediti IVA</t>
  </si>
  <si>
    <t>030203053</t>
  </si>
  <si>
    <t>Cellulari deducibili</t>
  </si>
  <si>
    <t>030801015</t>
  </si>
  <si>
    <t>Hardware e macc. uff.</t>
  </si>
  <si>
    <t>030203054</t>
  </si>
  <si>
    <t>Cellulari indeducibili</t>
  </si>
  <si>
    <t>030203046</t>
  </si>
  <si>
    <t>Spese incasso</t>
  </si>
  <si>
    <t>Dipendente</t>
  </si>
  <si>
    <t>RSA</t>
  </si>
  <si>
    <t>Prestazione</t>
  </si>
  <si>
    <t>Commiss.</t>
  </si>
  <si>
    <t>Cane Silvia</t>
  </si>
  <si>
    <t>Priocca</t>
  </si>
  <si>
    <t>Piemonte</t>
  </si>
  <si>
    <t>Rigoni Valentina</t>
  </si>
  <si>
    <t>Vigonovo</t>
  </si>
  <si>
    <t>Veneto</t>
  </si>
  <si>
    <t>Sansone Danilo</t>
  </si>
  <si>
    <t>Zanchetta Irene</t>
  </si>
  <si>
    <t>Argentieri Sara</t>
  </si>
  <si>
    <t>Jesolo</t>
  </si>
  <si>
    <t>Firdous Hassan</t>
  </si>
  <si>
    <t>Pieve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</si>
</sst>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1" xfId="0" applyNumberFormat="1" applyBorder="1"/>
    <xf numFmtId="43" fontId="1" fillId="0" borderId="1" xfId="0" applyNumberFormat="1" applyFont="1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43" fontId="0" fillId="2" borderId="1" xfId="0" applyNumberFormat="1" applyFill="1" applyBorder="1"/>
    <xf numFmtId="43" fontId="1" fillId="2" borderId="1" xfId="0" applyNumberFormat="1" applyFont="1" applyFill="1" applyBorder="1"/>
    <xf numFmtId="43" fontId="0" fillId="2" borderId="1" xfId="0" quotePrefix="1" applyNumberFormat="1" applyFill="1" applyBorder="1"/>
    <xf numFmtId="43" fontId="0" fillId="3" borderId="1" xfId="0" applyNumberFormat="1" applyFill="1" applyBorder="1"/>
    <xf numFmtId="43" fontId="0" fillId="2" borderId="1" xfId="0" applyNumberFormat="1" applyFill="1" applyBorder="1" applyAlignment="1">
      <alignment horizontal="right"/>
    </xf>
    <xf numFmtId="43" fontId="1" fillId="2" borderId="1" xfId="0" applyNumberFormat="1" applyFont="1" applyFill="1" applyBorder="1" applyAlignment="1">
      <alignment horizontal="center" vertical="center"/>
    </xf>
    <xf numFmtId="43" fontId="1" fillId="0" borderId="0" xfId="0" applyNumberFormat="1" applyFont="1"/>
    <xf numFmtId="43" fontId="1" fillId="2" borderId="4" xfId="0" applyNumberFormat="1" applyFont="1" applyFill="1" applyBorder="1"/>
    <xf numFmtId="43" fontId="1" fillId="2" borderId="7" xfId="0" applyNumberFormat="1" applyFont="1" applyFill="1" applyBorder="1" applyAlignment="1">
      <alignment horizontal="center" vertical="center"/>
    </xf>
    <xf numFmtId="43" fontId="1" fillId="2" borderId="8" xfId="0" applyNumberFormat="1" applyFont="1" applyFill="1" applyBorder="1" applyAlignment="1">
      <alignment horizontal="center" vertical="center"/>
    </xf>
    <xf numFmtId="0" fontId="0" fillId="2" borderId="3" xfId="0" quotePrefix="1" applyFill="1" applyBorder="1"/>
    <xf numFmtId="0" fontId="0" fillId="2" borderId="3" xfId="0" applyFill="1" applyBorder="1"/>
    <xf numFmtId="43" fontId="0" fillId="2" borderId="3" xfId="0" applyNumberFormat="1" applyFill="1" applyBorder="1"/>
    <xf numFmtId="0" fontId="0" fillId="2" borderId="9" xfId="0" quotePrefix="1" applyFill="1" applyBorder="1"/>
    <xf numFmtId="43" fontId="0" fillId="2" borderId="9" xfId="0" applyNumberFormat="1" applyFill="1" applyBorder="1"/>
    <xf numFmtId="0" fontId="0" fillId="2" borderId="9" xfId="0" applyFill="1" applyBorder="1"/>
    <xf numFmtId="43" fontId="0" fillId="3" borderId="3" xfId="0" applyNumberFormat="1" applyFill="1" applyBorder="1"/>
    <xf numFmtId="43" fontId="1" fillId="2" borderId="3" xfId="0" applyNumberFormat="1" applyFont="1" applyFill="1" applyBorder="1"/>
    <xf numFmtId="0" fontId="1" fillId="2" borderId="3" xfId="0" applyFont="1" applyFill="1" applyBorder="1"/>
    <xf numFmtId="14" fontId="0" fillId="0" borderId="0" xfId="0" applyNumberFormat="1"/>
    <xf numFmtId="0" fontId="0" fillId="2" borderId="2" xfId="0" quotePrefix="1" applyFill="1" applyBorder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4" borderId="2" xfId="0" quotePrefix="1" applyFont="1" applyFill="1" applyBorder="1"/>
    <xf numFmtId="10" fontId="0" fillId="0" borderId="0" xfId="0" applyNumberFormat="1"/>
    <xf numFmtId="0" fontId="0" fillId="2" borderId="3" xfId="0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00F2-9FD5-4635-AC0D-343D3F933F57}">
  <dimension ref="A1:E23"/>
  <sheetViews>
    <sheetView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10.7109375" bestFit="1" customWidth="1"/>
    <col min="2" max="2" width="17.42578125" bestFit="1" customWidth="1"/>
    <col min="3" max="3" width="11.140625" bestFit="1" customWidth="1"/>
    <col min="4" max="4" width="41.5703125" bestFit="1" customWidth="1"/>
    <col min="5" max="5" width="13.42578125" bestFit="1" customWidth="1"/>
  </cols>
  <sheetData>
    <row r="1" spans="1:5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</row>
    <row r="2" spans="1:5" x14ac:dyDescent="0.25">
      <c r="A2" s="31" t="s">
        <v>5</v>
      </c>
      <c r="B2" s="31" t="s">
        <v>6</v>
      </c>
      <c r="C2" s="31" t="s">
        <v>7</v>
      </c>
      <c r="D2" s="31" t="s">
        <v>8</v>
      </c>
      <c r="E2" s="31" t="s">
        <v>9</v>
      </c>
    </row>
    <row r="3" spans="1:5" x14ac:dyDescent="0.25">
      <c r="A3" s="31" t="s">
        <v>10</v>
      </c>
      <c r="B3" s="31" t="s">
        <v>11</v>
      </c>
      <c r="C3" s="31" t="s">
        <v>12</v>
      </c>
      <c r="D3" s="31" t="s">
        <v>13</v>
      </c>
      <c r="E3" s="31" t="s">
        <v>14</v>
      </c>
    </row>
    <row r="4" spans="1:5" x14ac:dyDescent="0.25">
      <c r="A4" s="31" t="s">
        <v>15</v>
      </c>
      <c r="B4" s="31" t="s">
        <v>16</v>
      </c>
      <c r="C4" s="31" t="s">
        <v>12</v>
      </c>
      <c r="D4" s="31" t="s">
        <v>17</v>
      </c>
      <c r="E4" s="31" t="s">
        <v>14</v>
      </c>
    </row>
    <row r="5" spans="1:5" x14ac:dyDescent="0.25">
      <c r="A5" s="31" t="s">
        <v>18</v>
      </c>
      <c r="B5" s="31" t="s">
        <v>16</v>
      </c>
      <c r="C5" s="31" t="s">
        <v>12</v>
      </c>
      <c r="D5" s="31" t="s">
        <v>17</v>
      </c>
      <c r="E5" s="31" t="s">
        <v>14</v>
      </c>
    </row>
    <row r="6" spans="1:5" x14ac:dyDescent="0.25">
      <c r="A6" s="31" t="s">
        <v>19</v>
      </c>
      <c r="B6" s="31" t="s">
        <v>6</v>
      </c>
      <c r="C6" s="31" t="s">
        <v>12</v>
      </c>
      <c r="D6" s="31" t="s">
        <v>17</v>
      </c>
      <c r="E6" s="31" t="s">
        <v>14</v>
      </c>
    </row>
    <row r="7" spans="1:5" x14ac:dyDescent="0.25">
      <c r="A7" s="31" t="s">
        <v>20</v>
      </c>
      <c r="B7" s="31" t="s">
        <v>21</v>
      </c>
      <c r="C7" s="31" t="s">
        <v>12</v>
      </c>
      <c r="D7" s="31" t="s">
        <v>22</v>
      </c>
      <c r="E7" s="31" t="s">
        <v>14</v>
      </c>
    </row>
    <row r="8" spans="1:5" x14ac:dyDescent="0.25">
      <c r="A8" s="31" t="s">
        <v>23</v>
      </c>
      <c r="B8" s="31" t="s">
        <v>24</v>
      </c>
      <c r="C8" s="31" t="s">
        <v>12</v>
      </c>
      <c r="D8" s="31" t="s">
        <v>22</v>
      </c>
      <c r="E8" s="31" t="s">
        <v>14</v>
      </c>
    </row>
    <row r="9" spans="1:5" x14ac:dyDescent="0.25">
      <c r="A9" s="31" t="s">
        <v>25</v>
      </c>
      <c r="B9" s="31" t="s">
        <v>26</v>
      </c>
      <c r="C9" s="31" t="s">
        <v>12</v>
      </c>
      <c r="D9" s="31" t="s">
        <v>27</v>
      </c>
      <c r="E9" s="31" t="s">
        <v>14</v>
      </c>
    </row>
    <row r="10" spans="1:5" x14ac:dyDescent="0.25">
      <c r="A10" s="31" t="s">
        <v>28</v>
      </c>
      <c r="B10" s="31" t="s">
        <v>29</v>
      </c>
      <c r="C10" s="31" t="s">
        <v>12</v>
      </c>
      <c r="D10" s="31" t="s">
        <v>30</v>
      </c>
      <c r="E10" s="31" t="s">
        <v>14</v>
      </c>
    </row>
    <row r="11" spans="1:5" x14ac:dyDescent="0.25">
      <c r="A11" s="31" t="s">
        <v>31</v>
      </c>
      <c r="B11" s="31" t="s">
        <v>32</v>
      </c>
      <c r="C11" s="31" t="s">
        <v>12</v>
      </c>
      <c r="D11" s="31" t="s">
        <v>33</v>
      </c>
      <c r="E11" s="31" t="s">
        <v>14</v>
      </c>
    </row>
    <row r="12" spans="1:5" x14ac:dyDescent="0.25">
      <c r="A12" s="31" t="s">
        <v>34</v>
      </c>
      <c r="B12" s="31" t="s">
        <v>35</v>
      </c>
      <c r="C12" s="31" t="s">
        <v>12</v>
      </c>
      <c r="D12" s="31" t="s">
        <v>36</v>
      </c>
      <c r="E12" s="31" t="s">
        <v>14</v>
      </c>
    </row>
    <row r="13" spans="1:5" x14ac:dyDescent="0.25">
      <c r="A13" s="31" t="s">
        <v>37</v>
      </c>
      <c r="B13" s="31" t="s">
        <v>38</v>
      </c>
      <c r="C13" s="31" t="s">
        <v>12</v>
      </c>
      <c r="D13" s="31" t="s">
        <v>36</v>
      </c>
      <c r="E13" s="31" t="s">
        <v>14</v>
      </c>
    </row>
    <row r="14" spans="1:5" x14ac:dyDescent="0.25">
      <c r="A14" s="31" t="s">
        <v>39</v>
      </c>
      <c r="B14" s="31" t="s">
        <v>21</v>
      </c>
      <c r="C14" s="31" t="s">
        <v>12</v>
      </c>
      <c r="D14" s="31" t="s">
        <v>40</v>
      </c>
      <c r="E14" s="31" t="s">
        <v>14</v>
      </c>
    </row>
    <row r="15" spans="1:5" x14ac:dyDescent="0.25">
      <c r="A15" s="31" t="s">
        <v>41</v>
      </c>
      <c r="B15" s="31" t="s">
        <v>29</v>
      </c>
      <c r="C15" s="31" t="s">
        <v>12</v>
      </c>
      <c r="D15" s="31" t="s">
        <v>42</v>
      </c>
      <c r="E15" s="31" t="s">
        <v>14</v>
      </c>
    </row>
    <row r="16" spans="1:5" x14ac:dyDescent="0.25">
      <c r="A16" s="31" t="s">
        <v>43</v>
      </c>
      <c r="B16" s="31" t="s">
        <v>24</v>
      </c>
      <c r="C16" s="31" t="s">
        <v>12</v>
      </c>
      <c r="D16" s="31" t="s">
        <v>44</v>
      </c>
      <c r="E16" s="31" t="s">
        <v>14</v>
      </c>
    </row>
    <row r="17" spans="1:5" x14ac:dyDescent="0.25">
      <c r="A17" s="31" t="s">
        <v>45</v>
      </c>
      <c r="B17" s="31" t="s">
        <v>46</v>
      </c>
      <c r="C17" s="31" t="s">
        <v>12</v>
      </c>
      <c r="D17" s="31" t="s">
        <v>47</v>
      </c>
      <c r="E17" s="31" t="s">
        <v>14</v>
      </c>
    </row>
    <row r="18" spans="1:5" x14ac:dyDescent="0.25">
      <c r="A18" s="31" t="s">
        <v>48</v>
      </c>
      <c r="B18" s="31" t="s">
        <v>21</v>
      </c>
      <c r="C18" s="31" t="s">
        <v>12</v>
      </c>
      <c r="D18" s="31" t="s">
        <v>44</v>
      </c>
      <c r="E18" s="31" t="s">
        <v>14</v>
      </c>
    </row>
    <row r="19" spans="1:5" x14ac:dyDescent="0.25">
      <c r="A19" s="31" t="s">
        <v>49</v>
      </c>
      <c r="B19" s="31" t="s">
        <v>26</v>
      </c>
      <c r="C19" s="31" t="s">
        <v>12</v>
      </c>
      <c r="D19" s="31" t="s">
        <v>50</v>
      </c>
      <c r="E19" s="31" t="s">
        <v>14</v>
      </c>
    </row>
    <row r="20" spans="1:5" x14ac:dyDescent="0.25">
      <c r="A20" s="31" t="s">
        <v>51</v>
      </c>
      <c r="B20" s="31" t="s">
        <v>32</v>
      </c>
      <c r="C20" s="31" t="s">
        <v>12</v>
      </c>
      <c r="D20" s="31" t="s">
        <v>50</v>
      </c>
      <c r="E20" s="31" t="s">
        <v>14</v>
      </c>
    </row>
    <row r="21" spans="1:5" x14ac:dyDescent="0.25">
      <c r="A21" s="31" t="s">
        <v>52</v>
      </c>
      <c r="B21" s="31" t="s">
        <v>11</v>
      </c>
      <c r="C21" s="31" t="s">
        <v>12</v>
      </c>
      <c r="D21" s="31" t="s">
        <v>53</v>
      </c>
      <c r="E21" s="31" t="s">
        <v>14</v>
      </c>
    </row>
    <row r="22" spans="1:5" x14ac:dyDescent="0.25">
      <c r="A22" s="31"/>
      <c r="B22" s="31"/>
      <c r="C22" s="31"/>
      <c r="D22" s="31"/>
      <c r="E22" s="31"/>
    </row>
    <row r="23" spans="1:5" x14ac:dyDescent="0.25">
      <c r="A23" s="31"/>
      <c r="B23" s="31"/>
      <c r="C23" s="31"/>
      <c r="D23" s="31"/>
      <c r="E23" s="31"/>
    </row>
  </sheetData>
  <autoFilter ref="A1:E1" xr:uid="{D5AA00F2-9FD5-4635-AC0D-343D3F933F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DAAD-9BD1-4D16-8973-B8068EBBBF53}">
  <dimension ref="A2:O30"/>
  <sheetViews>
    <sheetView tabSelected="1" workbookViewId="0">
      <selection activeCell="L25" sqref="L25"/>
    </sheetView>
  </sheetViews>
  <sheetFormatPr defaultRowHeight="15" customHeight="1" x14ac:dyDescent="0.25"/>
  <cols>
    <col min="1" max="1" width="13.5703125" style="3" customWidth="1"/>
    <col min="2" max="2" width="31.42578125" style="3" bestFit="1" customWidth="1"/>
    <col min="3" max="3" width="15.7109375" style="3" customWidth="1"/>
    <col min="4" max="4" width="20.140625" style="3" bestFit="1" customWidth="1"/>
    <col min="5" max="8" width="12.28515625" style="3" customWidth="1"/>
    <col min="9" max="9" width="12.7109375" style="3" customWidth="1"/>
    <col min="10" max="10" width="12.85546875" style="3" customWidth="1"/>
    <col min="11" max="11" width="21.140625" customWidth="1"/>
    <col min="12" max="12" width="28.85546875" customWidth="1"/>
    <col min="13" max="13" width="11.140625" bestFit="1" customWidth="1"/>
    <col min="14" max="14" width="41.5703125" bestFit="1" customWidth="1"/>
    <col min="15" max="15" width="38.140625" customWidth="1"/>
    <col min="16" max="16" width="9.140625" customWidth="1"/>
    <col min="18" max="18" width="11.140625" bestFit="1" customWidth="1"/>
    <col min="19" max="19" width="21.140625" customWidth="1"/>
    <col min="20" max="20" width="12.5703125" customWidth="1"/>
  </cols>
  <sheetData>
    <row r="2" spans="1:14" ht="15" customHeight="1" x14ac:dyDescent="0.25">
      <c r="A2" s="14" t="s">
        <v>54</v>
      </c>
    </row>
    <row r="4" spans="1:14" x14ac:dyDescent="0.25">
      <c r="A4" s="5" t="s">
        <v>55</v>
      </c>
      <c r="B4" s="5" t="s">
        <v>56</v>
      </c>
      <c r="C4" s="5" t="s">
        <v>57</v>
      </c>
      <c r="D4" s="6" t="s">
        <v>0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  <c r="L4" s="1" t="s">
        <v>0</v>
      </c>
      <c r="M4" s="1"/>
      <c r="N4" t="s">
        <v>63</v>
      </c>
    </row>
    <row r="5" spans="1:14" ht="15" customHeight="1" x14ac:dyDescent="0.25">
      <c r="A5" s="11"/>
      <c r="B5" s="11">
        <v>489.45</v>
      </c>
      <c r="C5" s="4">
        <f t="shared" ref="C5:C13" si="0">A5+B5</f>
        <v>489.45</v>
      </c>
      <c r="D5" s="7" t="s">
        <v>64</v>
      </c>
      <c r="F5" s="4">
        <f>+C5+(C5*0.22*0.6)</f>
        <v>554.05740000000003</v>
      </c>
      <c r="G5" s="4">
        <f>C5*0.22*0.4</f>
        <v>43.071600000000004</v>
      </c>
      <c r="H5" s="4">
        <f>+C5*0.22*0.6</f>
        <v>64.607399999999998</v>
      </c>
      <c r="I5" s="4">
        <f>+F5*0.7</f>
        <v>387.84017999999998</v>
      </c>
      <c r="J5" s="4">
        <f>+F5*0.3</f>
        <v>166.21722</v>
      </c>
      <c r="L5" s="2" t="s">
        <v>65</v>
      </c>
      <c r="M5" t="s">
        <v>66</v>
      </c>
      <c r="N5" s="2" t="s">
        <v>67</v>
      </c>
    </row>
    <row r="6" spans="1:14" ht="15" customHeight="1" x14ac:dyDescent="0.25">
      <c r="A6" s="11"/>
      <c r="B6" s="11">
        <v>248.46</v>
      </c>
      <c r="C6" s="4">
        <f t="shared" si="0"/>
        <v>248.46</v>
      </c>
      <c r="D6" s="7" t="s">
        <v>68</v>
      </c>
      <c r="F6" s="4">
        <f t="shared" ref="F6:F13" si="1">+C6+(C6*0.22*0.6)</f>
        <v>281.25672000000003</v>
      </c>
      <c r="G6" s="4">
        <f t="shared" ref="G6:G10" si="2">C6*0.22*0.4</f>
        <v>21.86448</v>
      </c>
      <c r="H6" s="4">
        <f t="shared" ref="H6:H10" si="3">+C6*0.22*0.6</f>
        <v>32.796720000000001</v>
      </c>
      <c r="I6" s="4">
        <f t="shared" ref="I6:I10" si="4">+F6*0.7</f>
        <v>196.879704</v>
      </c>
      <c r="J6" s="4">
        <f t="shared" ref="J6:J10" si="5">+F6*0.3</f>
        <v>84.377016000000012</v>
      </c>
      <c r="L6" s="2" t="s">
        <v>69</v>
      </c>
      <c r="M6" t="s">
        <v>12</v>
      </c>
      <c r="N6" s="2" t="s">
        <v>13</v>
      </c>
    </row>
    <row r="7" spans="1:14" ht="15" customHeight="1" x14ac:dyDescent="0.25">
      <c r="A7" s="11"/>
      <c r="B7" s="11">
        <v>245.08</v>
      </c>
      <c r="C7" s="4">
        <f t="shared" si="0"/>
        <v>245.08</v>
      </c>
      <c r="D7" s="7" t="s">
        <v>70</v>
      </c>
      <c r="F7" s="4">
        <f t="shared" si="1"/>
        <v>277.43056000000001</v>
      </c>
      <c r="G7" s="4">
        <f t="shared" si="2"/>
        <v>21.567040000000002</v>
      </c>
      <c r="H7" s="4">
        <f t="shared" si="3"/>
        <v>32.350560000000002</v>
      </c>
      <c r="I7" s="4">
        <f t="shared" si="4"/>
        <v>194.201392</v>
      </c>
      <c r="J7" s="4">
        <f t="shared" si="5"/>
        <v>83.229168000000001</v>
      </c>
      <c r="L7" s="2" t="s">
        <v>71</v>
      </c>
      <c r="M7" t="s">
        <v>12</v>
      </c>
      <c r="N7" s="2" t="s">
        <v>17</v>
      </c>
    </row>
    <row r="8" spans="1:14" ht="15" customHeight="1" x14ac:dyDescent="0.25">
      <c r="A8" s="11"/>
      <c r="B8" s="11">
        <v>392.79</v>
      </c>
      <c r="C8" s="4">
        <f t="shared" si="0"/>
        <v>392.79</v>
      </c>
      <c r="D8" s="7" t="s">
        <v>72</v>
      </c>
      <c r="F8" s="4">
        <f t="shared" si="1"/>
        <v>444.63828000000001</v>
      </c>
      <c r="G8" s="4">
        <f t="shared" si="2"/>
        <v>34.565520000000006</v>
      </c>
      <c r="H8" s="4">
        <f t="shared" si="3"/>
        <v>51.848280000000003</v>
      </c>
      <c r="I8" s="4">
        <f t="shared" si="4"/>
        <v>311.24679599999996</v>
      </c>
      <c r="J8" s="4">
        <f t="shared" si="5"/>
        <v>133.39148399999999</v>
      </c>
      <c r="L8" s="2" t="s">
        <v>73</v>
      </c>
      <c r="M8" t="s">
        <v>12</v>
      </c>
      <c r="N8" s="2" t="s">
        <v>17</v>
      </c>
    </row>
    <row r="9" spans="1:14" ht="15" customHeight="1" x14ac:dyDescent="0.25">
      <c r="A9" s="11"/>
      <c r="B9" s="11">
        <v>143.84</v>
      </c>
      <c r="C9" s="4">
        <f t="shared" si="0"/>
        <v>143.84</v>
      </c>
      <c r="D9" s="7" t="s">
        <v>74</v>
      </c>
      <c r="F9" s="4">
        <f t="shared" si="1"/>
        <v>162.82688000000002</v>
      </c>
      <c r="G9" s="4">
        <f t="shared" si="2"/>
        <v>12.657920000000001</v>
      </c>
      <c r="H9" s="4">
        <f t="shared" si="3"/>
        <v>18.986879999999999</v>
      </c>
      <c r="I9" s="4">
        <f t="shared" si="4"/>
        <v>113.97881600000001</v>
      </c>
      <c r="J9" s="4">
        <f t="shared" si="5"/>
        <v>48.848064000000001</v>
      </c>
      <c r="K9" s="29"/>
      <c r="L9" s="2" t="s">
        <v>75</v>
      </c>
      <c r="M9" t="s">
        <v>12</v>
      </c>
      <c r="N9" s="2" t="s">
        <v>17</v>
      </c>
    </row>
    <row r="10" spans="1:14" ht="15" customHeight="1" x14ac:dyDescent="0.25">
      <c r="A10" s="11"/>
      <c r="B10" s="11">
        <v>198.95</v>
      </c>
      <c r="C10" s="4">
        <f t="shared" si="0"/>
        <v>198.95</v>
      </c>
      <c r="D10" s="7" t="s">
        <v>76</v>
      </c>
      <c r="F10" s="4">
        <f t="shared" si="1"/>
        <v>225.2114</v>
      </c>
      <c r="G10" s="4">
        <f t="shared" si="2"/>
        <v>17.5076</v>
      </c>
      <c r="H10" s="4">
        <f t="shared" si="3"/>
        <v>26.261399999999998</v>
      </c>
      <c r="I10" s="4">
        <f t="shared" si="4"/>
        <v>157.64797999999999</v>
      </c>
      <c r="J10" s="4">
        <f t="shared" si="5"/>
        <v>67.563419999999994</v>
      </c>
      <c r="L10" s="2" t="s">
        <v>77</v>
      </c>
      <c r="M10" t="s">
        <v>12</v>
      </c>
      <c r="N10" s="2" t="s">
        <v>22</v>
      </c>
    </row>
    <row r="11" spans="1:14" ht="15" customHeight="1" x14ac:dyDescent="0.25">
      <c r="A11" s="11"/>
      <c r="B11" s="11">
        <v>130.86000000000001</v>
      </c>
      <c r="C11" s="4">
        <f t="shared" si="0"/>
        <v>130.86000000000001</v>
      </c>
      <c r="D11" s="7" t="s">
        <v>78</v>
      </c>
      <c r="F11" s="4">
        <f t="shared" si="1"/>
        <v>148.13352</v>
      </c>
      <c r="G11" s="4">
        <f t="shared" ref="G11" si="6">C11*0.22*0.4</f>
        <v>11.515680000000003</v>
      </c>
      <c r="H11" s="4">
        <f t="shared" ref="H11" si="7">+C11*0.22*0.6</f>
        <v>17.273520000000001</v>
      </c>
      <c r="I11" s="4">
        <f t="shared" ref="I11" si="8">+F11*0.7</f>
        <v>103.69346399999999</v>
      </c>
      <c r="J11" s="4">
        <f t="shared" ref="J11" si="9">+F11*0.3</f>
        <v>44.440055999999998</v>
      </c>
      <c r="L11" s="2" t="s">
        <v>79</v>
      </c>
      <c r="M11" t="s">
        <v>12</v>
      </c>
      <c r="N11" s="2" t="s">
        <v>22</v>
      </c>
    </row>
    <row r="12" spans="1:14" ht="15" customHeight="1" x14ac:dyDescent="0.25">
      <c r="A12" s="11"/>
      <c r="B12" s="11"/>
      <c r="C12" s="4">
        <f t="shared" si="0"/>
        <v>0</v>
      </c>
      <c r="D12" s="7"/>
      <c r="F12" s="4">
        <f t="shared" si="1"/>
        <v>0</v>
      </c>
      <c r="G12" s="4">
        <f t="shared" ref="G12" si="10">C12*0.22*0.4</f>
        <v>0</v>
      </c>
      <c r="H12" s="4">
        <f t="shared" ref="H12" si="11">+C12*0.22*0.6</f>
        <v>0</v>
      </c>
      <c r="I12" s="4">
        <f t="shared" ref="I12" si="12">+F12*0.7</f>
        <v>0</v>
      </c>
      <c r="J12" s="4">
        <f t="shared" ref="J12" si="13">+F12*0.3</f>
        <v>0</v>
      </c>
      <c r="L12" s="2" t="s">
        <v>80</v>
      </c>
      <c r="M12" t="s">
        <v>12</v>
      </c>
      <c r="N12" s="2" t="s">
        <v>27</v>
      </c>
    </row>
    <row r="13" spans="1:14" ht="15" customHeight="1" x14ac:dyDescent="0.25">
      <c r="A13" s="11"/>
      <c r="B13" s="11"/>
      <c r="C13" s="4">
        <f t="shared" si="0"/>
        <v>0</v>
      </c>
      <c r="D13" s="7"/>
      <c r="F13" s="4">
        <f t="shared" si="1"/>
        <v>0</v>
      </c>
      <c r="G13" s="4"/>
      <c r="H13" s="4"/>
      <c r="I13" s="4"/>
      <c r="J13" s="4"/>
      <c r="L13" s="2" t="s">
        <v>81</v>
      </c>
      <c r="M13" t="s">
        <v>12</v>
      </c>
      <c r="N13" s="2" t="s">
        <v>30</v>
      </c>
    </row>
    <row r="14" spans="1:14" ht="15" customHeight="1" x14ac:dyDescent="0.25">
      <c r="A14" s="4"/>
      <c r="B14" s="4"/>
      <c r="C14" s="4">
        <f>SUM(C5:C13)</f>
        <v>1849.4299999999998</v>
      </c>
      <c r="D14" s="4">
        <f>+C14*0.22</f>
        <v>406.87459999999999</v>
      </c>
      <c r="F14" s="4">
        <f>SUM(F5:F13)</f>
        <v>2093.55476</v>
      </c>
      <c r="G14" s="4">
        <f t="shared" ref="G14:J14" si="14">SUM(G5:G13)</f>
        <v>162.74984000000001</v>
      </c>
      <c r="H14" s="4">
        <f t="shared" si="14"/>
        <v>244.12475999999998</v>
      </c>
      <c r="I14" s="4">
        <f t="shared" si="14"/>
        <v>1465.4883319999999</v>
      </c>
      <c r="J14" s="4">
        <f t="shared" si="14"/>
        <v>628.06642799999997</v>
      </c>
      <c r="L14" s="2" t="s">
        <v>82</v>
      </c>
      <c r="M14" t="s">
        <v>12</v>
      </c>
      <c r="N14" s="2" t="s">
        <v>33</v>
      </c>
    </row>
    <row r="15" spans="1:14" ht="15" customHeight="1" x14ac:dyDescent="0.25">
      <c r="A15" s="4" t="s">
        <v>83</v>
      </c>
      <c r="B15" s="11">
        <v>0</v>
      </c>
      <c r="C15" s="4">
        <f>+B15</f>
        <v>0</v>
      </c>
      <c r="D15" s="4">
        <f>+C15*0.22</f>
        <v>0</v>
      </c>
      <c r="F15" s="4">
        <f t="shared" ref="F15" si="15">+C15+(C15*0.22*0.6)</f>
        <v>0</v>
      </c>
      <c r="G15" s="4">
        <f t="shared" ref="G15" si="16">C15*0.22*0.4</f>
        <v>0</v>
      </c>
      <c r="H15" s="4">
        <f t="shared" ref="H15" si="17">+C15*0.22*0.6</f>
        <v>0</v>
      </c>
      <c r="I15" s="4">
        <f t="shared" ref="I15" si="18">+F15*0.7</f>
        <v>0</v>
      </c>
      <c r="J15" s="4">
        <f t="shared" ref="J15" si="19">+F15*0.3</f>
        <v>0</v>
      </c>
      <c r="L15" s="2" t="s">
        <v>68</v>
      </c>
      <c r="M15" t="s">
        <v>12</v>
      </c>
      <c r="N15" s="2" t="s">
        <v>36</v>
      </c>
    </row>
    <row r="16" spans="1:14" ht="15" customHeight="1" x14ac:dyDescent="0.25">
      <c r="A16" s="4"/>
      <c r="B16" s="4"/>
      <c r="C16" s="5">
        <f>SUM(C14:C15)</f>
        <v>1849.4299999999998</v>
      </c>
      <c r="D16" s="5">
        <f>SUM(D14:D15)</f>
        <v>406.87459999999999</v>
      </c>
      <c r="F16" s="5">
        <f t="shared" ref="F16:J16" si="20">SUM(F14:F15)</f>
        <v>2093.55476</v>
      </c>
      <c r="G16" s="5">
        <f t="shared" si="20"/>
        <v>162.74984000000001</v>
      </c>
      <c r="H16" s="5">
        <f t="shared" si="20"/>
        <v>244.12475999999998</v>
      </c>
      <c r="I16" s="5">
        <f t="shared" si="20"/>
        <v>1465.4883319999999</v>
      </c>
      <c r="J16" s="5">
        <f t="shared" si="20"/>
        <v>628.06642799999997</v>
      </c>
      <c r="L16" s="2" t="s">
        <v>74</v>
      </c>
      <c r="M16" t="s">
        <v>12</v>
      </c>
      <c r="N16" s="2" t="s">
        <v>36</v>
      </c>
    </row>
    <row r="17" spans="1:15" ht="15" customHeight="1" x14ac:dyDescent="0.25">
      <c r="L17" s="2" t="s">
        <v>84</v>
      </c>
      <c r="M17" t="s">
        <v>12</v>
      </c>
      <c r="N17" s="2" t="s">
        <v>40</v>
      </c>
    </row>
    <row r="18" spans="1:15" ht="15" customHeight="1" x14ac:dyDescent="0.25">
      <c r="L18" s="2" t="s">
        <v>72</v>
      </c>
      <c r="M18" t="s">
        <v>12</v>
      </c>
      <c r="N18" s="2" t="s">
        <v>42</v>
      </c>
    </row>
    <row r="19" spans="1:15" ht="15" customHeight="1" x14ac:dyDescent="0.25">
      <c r="L19" s="2" t="s">
        <v>85</v>
      </c>
      <c r="M19" t="s">
        <v>12</v>
      </c>
      <c r="N19" s="2" t="s">
        <v>44</v>
      </c>
    </row>
    <row r="20" spans="1:15" ht="15" customHeight="1" x14ac:dyDescent="0.25">
      <c r="A20" s="8" t="s">
        <v>86</v>
      </c>
      <c r="B20" s="8" t="s">
        <v>87</v>
      </c>
      <c r="C20" s="8" t="s">
        <v>88</v>
      </c>
      <c r="D20" s="8">
        <f>SUM(B21:C22)</f>
        <v>2256.3045999999999</v>
      </c>
      <c r="L20" s="2" t="s">
        <v>64</v>
      </c>
      <c r="M20" t="s">
        <v>12</v>
      </c>
      <c r="N20" s="2" t="s">
        <v>47</v>
      </c>
    </row>
    <row r="21" spans="1:15" ht="15" customHeight="1" x14ac:dyDescent="0.25">
      <c r="A21" s="8" t="s">
        <v>89</v>
      </c>
      <c r="B21" s="8">
        <f>+C16</f>
        <v>1849.4299999999998</v>
      </c>
      <c r="C21" s="8">
        <f>+B21*0.22</f>
        <v>406.87459999999999</v>
      </c>
      <c r="F21" s="14"/>
      <c r="G21" s="14"/>
      <c r="H21" s="14"/>
      <c r="I21" s="14"/>
      <c r="J21" s="14"/>
      <c r="L21" s="2" t="s">
        <v>78</v>
      </c>
      <c r="M21" t="s">
        <v>12</v>
      </c>
      <c r="N21" s="2" t="s">
        <v>44</v>
      </c>
    </row>
    <row r="22" spans="1:15" ht="15" customHeight="1" x14ac:dyDescent="0.25">
      <c r="A22" s="8"/>
      <c r="B22" s="8"/>
      <c r="C22" s="8"/>
      <c r="L22" s="2" t="s">
        <v>70</v>
      </c>
      <c r="M22" t="s">
        <v>12</v>
      </c>
      <c r="N22" s="2" t="s">
        <v>50</v>
      </c>
    </row>
    <row r="23" spans="1:15" ht="15" customHeight="1" x14ac:dyDescent="0.25">
      <c r="L23" s="2" t="s">
        <v>76</v>
      </c>
      <c r="M23" t="s">
        <v>12</v>
      </c>
      <c r="N23" s="2" t="s">
        <v>50</v>
      </c>
    </row>
    <row r="24" spans="1:15" ht="15" customHeight="1" x14ac:dyDescent="0.25">
      <c r="L24" s="31" t="s">
        <v>90</v>
      </c>
      <c r="M24" s="31" t="s">
        <v>12</v>
      </c>
      <c r="N24" s="31" t="s">
        <v>53</v>
      </c>
      <c r="O24" s="31"/>
    </row>
    <row r="25" spans="1:15" ht="15" customHeight="1" x14ac:dyDescent="0.25">
      <c r="A25" s="9" t="s">
        <v>91</v>
      </c>
      <c r="B25" s="9" t="s">
        <v>92</v>
      </c>
      <c r="C25" s="13" t="s">
        <v>93</v>
      </c>
      <c r="D25" s="13" t="s">
        <v>94</v>
      </c>
    </row>
    <row r="26" spans="1:15" ht="15" customHeight="1" x14ac:dyDescent="0.25">
      <c r="A26" s="10" t="s">
        <v>95</v>
      </c>
      <c r="B26" s="8" t="s">
        <v>96</v>
      </c>
      <c r="C26" s="12"/>
      <c r="D26" s="12">
        <f>+F16+G16</f>
        <v>2256.3045999999999</v>
      </c>
    </row>
    <row r="27" spans="1:15" ht="15" customHeight="1" x14ac:dyDescent="0.25">
      <c r="A27" s="10" t="s">
        <v>97</v>
      </c>
      <c r="B27" s="8" t="s">
        <v>98</v>
      </c>
      <c r="C27" s="12">
        <f>+G16</f>
        <v>162.74984000000001</v>
      </c>
      <c r="D27" s="12"/>
      <c r="L27" s="2"/>
      <c r="N27" s="2"/>
    </row>
    <row r="28" spans="1:15" ht="15" customHeight="1" x14ac:dyDescent="0.25">
      <c r="A28" s="10" t="s">
        <v>99</v>
      </c>
      <c r="B28" s="8" t="s">
        <v>100</v>
      </c>
      <c r="C28" s="12">
        <f>+J14</f>
        <v>628.06642799999997</v>
      </c>
      <c r="D28" s="12"/>
      <c r="L28" s="2"/>
      <c r="N28" s="2"/>
    </row>
    <row r="29" spans="1:15" ht="15" customHeight="1" x14ac:dyDescent="0.25">
      <c r="A29" s="10" t="s">
        <v>101</v>
      </c>
      <c r="B29" s="8" t="s">
        <v>102</v>
      </c>
      <c r="C29" s="12">
        <f>+I14</f>
        <v>1465.4883319999999</v>
      </c>
      <c r="D29" s="12"/>
    </row>
    <row r="30" spans="1:15" ht="15" customHeight="1" x14ac:dyDescent="0.25">
      <c r="A30" s="10" t="s">
        <v>103</v>
      </c>
      <c r="B30" s="8" t="s">
        <v>104</v>
      </c>
      <c r="C30" s="12">
        <f>+I15+J15</f>
        <v>0</v>
      </c>
      <c r="D30" s="12"/>
      <c r="F30" s="14"/>
      <c r="G30" s="14"/>
      <c r="H30" s="14"/>
      <c r="I30" s="14"/>
      <c r="J30" s="14"/>
    </row>
  </sheetData>
  <dataValidations count="7">
    <dataValidation type="list" allowBlank="1" showInputMessage="1" showErrorMessage="1" sqref="L11 L8:L9 L6" xr:uid="{0F0599E8-DBA0-4BEC-BAA0-E3E1A1B51E61}">
      <formula1>$L$5:$L$16</formula1>
    </dataValidation>
    <dataValidation allowBlank="1" showInputMessage="1" showErrorMessage="1" sqref="L4:M4 D4 L14:L21 L5:L6 L8:L11" xr:uid="{BE665A79-7DC2-4F8D-BDB5-DA00A49DD6B6}"/>
    <dataValidation type="list" allowBlank="1" showInputMessage="1" showErrorMessage="1" sqref="L18 L7 L13" xr:uid="{F7C0E136-A122-45E7-8545-0AAA8E5F0029}">
      <formula1>$L$5:$L$21</formula1>
    </dataValidation>
    <dataValidation type="list" allowBlank="1" showInputMessage="1" showErrorMessage="1" sqref="L15:L16 L10" xr:uid="{47C585EF-F032-4F84-BB37-EBE8B6014DC9}">
      <formula1>$L$5:$L$18</formula1>
    </dataValidation>
    <dataValidation type="list" allowBlank="1" showInputMessage="1" showErrorMessage="1" sqref="L14 L12 L17" xr:uid="{BAC0759B-90B9-4903-8E1A-F62D1CE813C2}">
      <formula1>$L$5:$L$28</formula1>
    </dataValidation>
    <dataValidation type="list" allowBlank="1" showInputMessage="1" showErrorMessage="1" sqref="L5" xr:uid="{D1A1A6C5-D20D-4B2C-BD23-AEDDDC09DCC5}">
      <formula1>$L$5:$L$27</formula1>
    </dataValidation>
    <dataValidation type="list" allowBlank="1" showInputMessage="1" showErrorMessage="1" sqref="D5:D13" xr:uid="{B22F418A-9D95-4CDD-9B80-05D2464CE547}">
      <formula1>$L$5:$L$23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4E73-73D6-4661-B3CC-CCC07E13B4C3}">
  <dimension ref="B2:U20"/>
  <sheetViews>
    <sheetView workbookViewId="0">
      <selection activeCell="D7" sqref="D7"/>
    </sheetView>
  </sheetViews>
  <sheetFormatPr defaultRowHeight="15" customHeight="1" x14ac:dyDescent="0.25"/>
  <cols>
    <col min="2" max="2" width="13.7109375" customWidth="1"/>
    <col min="3" max="3" width="11" bestFit="1" customWidth="1"/>
    <col min="9" max="9" width="11.5703125" customWidth="1"/>
    <col min="10" max="10" width="9.5703125" bestFit="1" customWidth="1"/>
    <col min="16" max="16" width="12" bestFit="1" customWidth="1"/>
    <col min="17" max="17" width="11.140625" bestFit="1" customWidth="1"/>
    <col min="18" max="18" width="11.140625" style="3" bestFit="1" customWidth="1"/>
    <col min="19" max="19" width="9.140625" style="3"/>
    <col min="20" max="20" width="10.42578125" customWidth="1"/>
  </cols>
  <sheetData>
    <row r="2" spans="2:21" x14ac:dyDescent="0.25">
      <c r="C2" s="3"/>
      <c r="D2" s="3"/>
      <c r="E2" s="3"/>
    </row>
    <row r="3" spans="2:21" x14ac:dyDescent="0.25">
      <c r="B3" s="32" t="s">
        <v>105</v>
      </c>
      <c r="C3" s="24">
        <v>96</v>
      </c>
      <c r="D3" s="20">
        <f>+C3*0.22</f>
        <v>21.12</v>
      </c>
      <c r="E3" s="20">
        <f>SUM(C3:D3)</f>
        <v>117.12</v>
      </c>
      <c r="I3" s="32" t="s">
        <v>106</v>
      </c>
      <c r="J3" s="24">
        <v>4323</v>
      </c>
      <c r="K3" s="20">
        <f>+J3*0.22</f>
        <v>951.06000000000006</v>
      </c>
      <c r="L3" s="20">
        <f>SUM(J3:K3)</f>
        <v>5274.06</v>
      </c>
      <c r="P3" s="20" t="s">
        <v>107</v>
      </c>
    </row>
    <row r="4" spans="2:21" x14ac:dyDescent="0.25">
      <c r="B4" s="28" t="s">
        <v>108</v>
      </c>
      <c r="C4" s="24">
        <v>0</v>
      </c>
      <c r="D4" s="20">
        <f>+C4*0.22</f>
        <v>0</v>
      </c>
      <c r="E4" s="22">
        <f>SUM(C4:D4)</f>
        <v>0</v>
      </c>
      <c r="I4" s="28" t="s">
        <v>108</v>
      </c>
      <c r="J4" s="24">
        <v>0</v>
      </c>
      <c r="K4" s="20">
        <f>+J4*0.22</f>
        <v>0</v>
      </c>
      <c r="L4" s="22">
        <f>SUM(J4:K4)</f>
        <v>0</v>
      </c>
    </row>
    <row r="5" spans="2:21" x14ac:dyDescent="0.25">
      <c r="C5" s="3"/>
      <c r="D5" s="3"/>
      <c r="E5" s="25">
        <f>SUM(E3:E4)</f>
        <v>117.12</v>
      </c>
      <c r="J5" s="3"/>
      <c r="K5" s="3"/>
      <c r="L5" s="25">
        <f>SUM(L3:L4)</f>
        <v>5274.06</v>
      </c>
      <c r="P5" s="20" t="s">
        <v>109</v>
      </c>
      <c r="Q5" s="20" t="s">
        <v>110</v>
      </c>
      <c r="R5" s="20" t="s">
        <v>57</v>
      </c>
      <c r="S5" s="20" t="s">
        <v>111</v>
      </c>
      <c r="T5" s="20" t="s">
        <v>112</v>
      </c>
      <c r="U5" s="20" t="s">
        <v>113</v>
      </c>
    </row>
    <row r="6" spans="2:21" x14ac:dyDescent="0.25">
      <c r="C6" s="3"/>
      <c r="D6" s="3"/>
      <c r="E6" s="3"/>
      <c r="J6" s="3"/>
      <c r="K6" s="3"/>
      <c r="L6" s="3"/>
      <c r="P6">
        <v>7549494680</v>
      </c>
      <c r="Q6" s="27">
        <v>45918</v>
      </c>
      <c r="R6" s="3">
        <v>7137</v>
      </c>
      <c r="S6" t="s">
        <v>114</v>
      </c>
      <c r="T6" s="3">
        <v>594.75</v>
      </c>
      <c r="U6" s="3">
        <f>+T6*12</f>
        <v>7137</v>
      </c>
    </row>
    <row r="7" spans="2:21" x14ac:dyDescent="0.25">
      <c r="B7" s="26" t="s">
        <v>115</v>
      </c>
      <c r="C7" s="25" t="s">
        <v>87</v>
      </c>
      <c r="D7" s="25" t="s">
        <v>88</v>
      </c>
      <c r="E7" s="3"/>
      <c r="I7" s="26" t="s">
        <v>115</v>
      </c>
      <c r="J7" s="25" t="s">
        <v>87</v>
      </c>
      <c r="K7" s="25" t="s">
        <v>88</v>
      </c>
      <c r="L7" s="3"/>
      <c r="P7">
        <v>7549538052</v>
      </c>
      <c r="Q7" s="27">
        <v>45939</v>
      </c>
      <c r="R7" s="3">
        <v>1317.6</v>
      </c>
      <c r="S7" t="s">
        <v>116</v>
      </c>
      <c r="T7" s="3">
        <v>61</v>
      </c>
      <c r="U7" s="3">
        <f t="shared" ref="U7:U8" si="0">+T7*12</f>
        <v>732</v>
      </c>
    </row>
    <row r="8" spans="2:21" x14ac:dyDescent="0.25">
      <c r="B8" s="19" t="s">
        <v>117</v>
      </c>
      <c r="C8" s="20">
        <f>SUM(C3:C4)</f>
        <v>96</v>
      </c>
      <c r="D8" s="20">
        <f>+C8*0.22</f>
        <v>21.12</v>
      </c>
      <c r="E8" s="3"/>
      <c r="I8" s="19" t="s">
        <v>117</v>
      </c>
      <c r="J8" s="20">
        <f>SUM(J3:J4)</f>
        <v>4323</v>
      </c>
      <c r="K8" s="20">
        <f>+J8*0.22</f>
        <v>951.06000000000006</v>
      </c>
      <c r="L8" s="3"/>
      <c r="P8">
        <v>7549559664</v>
      </c>
      <c r="Q8" s="27">
        <v>45951</v>
      </c>
      <c r="R8" s="3">
        <v>732</v>
      </c>
      <c r="S8" t="s">
        <v>118</v>
      </c>
      <c r="T8" s="3">
        <v>109.8</v>
      </c>
      <c r="U8" s="3">
        <f t="shared" si="0"/>
        <v>1317.6</v>
      </c>
    </row>
    <row r="9" spans="2:21" x14ac:dyDescent="0.25">
      <c r="C9" s="3"/>
      <c r="D9" s="3"/>
      <c r="E9" s="3"/>
      <c r="J9" s="3"/>
      <c r="K9" s="3"/>
      <c r="L9" s="3"/>
      <c r="Q9" s="3"/>
    </row>
    <row r="10" spans="2:21" x14ac:dyDescent="0.25">
      <c r="B10" s="15" t="s">
        <v>91</v>
      </c>
      <c r="C10" s="35" t="s">
        <v>92</v>
      </c>
      <c r="D10" s="36"/>
      <c r="E10" s="16" t="s">
        <v>93</v>
      </c>
      <c r="F10" s="17" t="s">
        <v>94</v>
      </c>
      <c r="I10" s="15" t="s">
        <v>91</v>
      </c>
      <c r="J10" s="35" t="s">
        <v>92</v>
      </c>
      <c r="K10" s="36"/>
      <c r="L10" s="16" t="s">
        <v>93</v>
      </c>
      <c r="M10" s="17" t="s">
        <v>94</v>
      </c>
    </row>
    <row r="11" spans="2:21" x14ac:dyDescent="0.25">
      <c r="B11" s="18" t="s">
        <v>119</v>
      </c>
      <c r="C11" s="34" t="s">
        <v>120</v>
      </c>
      <c r="D11" s="34"/>
      <c r="E11" s="19"/>
      <c r="F11" s="20">
        <f>+E5</f>
        <v>117.12</v>
      </c>
      <c r="I11" s="18" t="s">
        <v>119</v>
      </c>
      <c r="J11" s="34" t="s">
        <v>120</v>
      </c>
      <c r="K11" s="34"/>
      <c r="L11" s="19"/>
      <c r="M11" s="20">
        <f>+L5</f>
        <v>5274.06</v>
      </c>
    </row>
    <row r="12" spans="2:21" ht="14.45" customHeight="1" x14ac:dyDescent="0.25">
      <c r="B12" s="18" t="s">
        <v>97</v>
      </c>
      <c r="C12" s="34" t="s">
        <v>121</v>
      </c>
      <c r="D12" s="34"/>
      <c r="E12" s="20">
        <f>+D8*0.5</f>
        <v>10.56</v>
      </c>
      <c r="F12" s="19"/>
      <c r="I12" s="18" t="s">
        <v>97</v>
      </c>
      <c r="J12" s="34" t="s">
        <v>121</v>
      </c>
      <c r="K12" s="34"/>
      <c r="L12" s="20">
        <f>+K8*0.5</f>
        <v>475.53000000000003</v>
      </c>
      <c r="M12" s="19"/>
    </row>
    <row r="13" spans="2:21" x14ac:dyDescent="0.25">
      <c r="B13" s="18" t="s">
        <v>122</v>
      </c>
      <c r="C13" s="34" t="s">
        <v>123</v>
      </c>
      <c r="D13" s="34"/>
      <c r="E13" s="20">
        <f>+(C3+E12)*0.8</f>
        <v>85.248000000000005</v>
      </c>
      <c r="F13" s="19"/>
      <c r="I13" s="18" t="s">
        <v>124</v>
      </c>
      <c r="J13" s="34" t="s">
        <v>125</v>
      </c>
      <c r="K13" s="34"/>
      <c r="L13" s="20">
        <f>+J3+(K3*0.5)</f>
        <v>4798.53</v>
      </c>
      <c r="M13" s="19"/>
    </row>
    <row r="14" spans="2:21" x14ac:dyDescent="0.25">
      <c r="B14" s="21" t="s">
        <v>126</v>
      </c>
      <c r="C14" s="37" t="s">
        <v>127</v>
      </c>
      <c r="D14" s="37"/>
      <c r="E14" s="22">
        <f>+(C3+E12)*0.2</f>
        <v>21.312000000000001</v>
      </c>
      <c r="F14" s="23"/>
      <c r="I14" s="21"/>
      <c r="J14" s="37"/>
      <c r="K14" s="37"/>
      <c r="L14" s="22"/>
      <c r="M14" s="23"/>
    </row>
    <row r="15" spans="2:21" x14ac:dyDescent="0.25">
      <c r="B15" s="18" t="s">
        <v>128</v>
      </c>
      <c r="C15" s="34" t="s">
        <v>129</v>
      </c>
      <c r="D15" s="34"/>
      <c r="E15" s="20">
        <f>+C4+(C4*0.22*0.5)</f>
        <v>0</v>
      </c>
      <c r="F15" s="19"/>
      <c r="I15" s="18" t="s">
        <v>128</v>
      </c>
      <c r="J15" s="34" t="s">
        <v>129</v>
      </c>
      <c r="K15" s="34"/>
      <c r="L15" s="20">
        <f>+J4+(J4*0.22*0.5)</f>
        <v>0</v>
      </c>
      <c r="M15" s="19"/>
    </row>
    <row r="16" spans="2:21" x14ac:dyDescent="0.25">
      <c r="E16" s="3"/>
    </row>
    <row r="17" spans="3:12" x14ac:dyDescent="0.25">
      <c r="C17" s="3"/>
      <c r="D17" s="3"/>
      <c r="E17" s="3"/>
      <c r="F17" s="3"/>
    </row>
    <row r="18" spans="3:12" x14ac:dyDescent="0.25">
      <c r="C18" s="3"/>
      <c r="D18" s="3"/>
      <c r="E18" s="3"/>
      <c r="F18" s="3"/>
      <c r="L18" s="3"/>
    </row>
    <row r="19" spans="3:12" x14ac:dyDescent="0.25">
      <c r="C19" s="3"/>
      <c r="D19" s="3"/>
      <c r="E19" s="3"/>
      <c r="F19" s="3"/>
    </row>
    <row r="20" spans="3:12" x14ac:dyDescent="0.25">
      <c r="C20" s="3"/>
      <c r="D20" s="3"/>
      <c r="E20" s="3"/>
      <c r="F20" s="3"/>
    </row>
  </sheetData>
  <mergeCells count="12">
    <mergeCell ref="J15:K15"/>
    <mergeCell ref="J10:K10"/>
    <mergeCell ref="J11:K11"/>
    <mergeCell ref="J12:K12"/>
    <mergeCell ref="J13:K13"/>
    <mergeCell ref="J14:K14"/>
    <mergeCell ref="C15:D15"/>
    <mergeCell ref="C10:D10"/>
    <mergeCell ref="C11:D11"/>
    <mergeCell ref="C12:D12"/>
    <mergeCell ref="C13:D13"/>
    <mergeCell ref="C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6306-4ABC-48D7-A694-3F77F5EE672F}">
  <dimension ref="A2:N13"/>
  <sheetViews>
    <sheetView workbookViewId="0">
      <selection activeCell="I17" sqref="I17"/>
    </sheetView>
  </sheetViews>
  <sheetFormatPr defaultRowHeight="15" x14ac:dyDescent="0.25"/>
  <cols>
    <col min="1" max="1" width="15" bestFit="1" customWidth="1"/>
    <col min="2" max="2" width="9.85546875" bestFit="1" customWidth="1"/>
    <col min="3" max="3" width="9.28515625" bestFit="1" customWidth="1"/>
    <col min="4" max="4" width="13.7109375" style="3" customWidth="1"/>
    <col min="5" max="5" width="10.5703125" style="3" customWidth="1"/>
    <col min="6" max="6" width="9.28515625" style="3" customWidth="1"/>
    <col min="7" max="7" width="9.140625" style="3"/>
    <col min="13" max="14" width="10.7109375" bestFit="1" customWidth="1"/>
  </cols>
  <sheetData>
    <row r="2" spans="1:14" x14ac:dyDescent="0.25">
      <c r="A2" s="1" t="s">
        <v>130</v>
      </c>
      <c r="B2" s="1" t="s">
        <v>131</v>
      </c>
      <c r="D2" s="14" t="s">
        <v>132</v>
      </c>
      <c r="E2" s="14" t="s">
        <v>133</v>
      </c>
    </row>
    <row r="3" spans="1:14" x14ac:dyDescent="0.25">
      <c r="A3" t="s">
        <v>134</v>
      </c>
      <c r="B3" t="s">
        <v>135</v>
      </c>
      <c r="C3" t="s">
        <v>136</v>
      </c>
      <c r="D3" s="3">
        <v>1839.01</v>
      </c>
      <c r="E3" s="3">
        <v>340.06</v>
      </c>
      <c r="F3" s="33"/>
    </row>
    <row r="4" spans="1:14" x14ac:dyDescent="0.25">
      <c r="A4" t="s">
        <v>137</v>
      </c>
      <c r="B4" t="s">
        <v>138</v>
      </c>
      <c r="C4" t="s">
        <v>139</v>
      </c>
      <c r="D4" s="3">
        <v>2291.89</v>
      </c>
      <c r="E4" s="3">
        <v>384.35</v>
      </c>
      <c r="F4" s="33"/>
    </row>
    <row r="5" spans="1:14" x14ac:dyDescent="0.25">
      <c r="A5" t="s">
        <v>140</v>
      </c>
      <c r="B5" t="s">
        <v>135</v>
      </c>
      <c r="C5" t="s">
        <v>136</v>
      </c>
      <c r="D5" s="3">
        <v>2535.81</v>
      </c>
      <c r="E5" s="3">
        <v>433.31</v>
      </c>
      <c r="F5" s="33"/>
      <c r="L5" s="3"/>
      <c r="M5" s="3"/>
      <c r="N5" s="3"/>
    </row>
    <row r="6" spans="1:14" x14ac:dyDescent="0.25">
      <c r="A6" t="s">
        <v>141</v>
      </c>
      <c r="B6" t="s">
        <v>138</v>
      </c>
      <c r="C6" t="s">
        <v>139</v>
      </c>
      <c r="D6" s="3">
        <v>2625.83</v>
      </c>
      <c r="E6" s="3">
        <v>473.03</v>
      </c>
      <c r="F6" s="33"/>
      <c r="L6" s="3"/>
      <c r="M6" s="3"/>
      <c r="N6" s="3"/>
    </row>
    <row r="7" spans="1:14" x14ac:dyDescent="0.25">
      <c r="A7" t="s">
        <v>142</v>
      </c>
      <c r="B7" t="s">
        <v>143</v>
      </c>
      <c r="C7" t="s">
        <v>139</v>
      </c>
      <c r="F7" s="33"/>
      <c r="L7" s="3"/>
      <c r="M7" s="3"/>
      <c r="N7" s="3"/>
    </row>
    <row r="8" spans="1:14" x14ac:dyDescent="0.25">
      <c r="A8" t="s">
        <v>144</v>
      </c>
      <c r="B8" t="s">
        <v>145</v>
      </c>
      <c r="C8" t="s">
        <v>139</v>
      </c>
      <c r="D8" s="3">
        <v>2765.18</v>
      </c>
      <c r="E8" s="3">
        <v>466.16</v>
      </c>
      <c r="L8" s="3"/>
      <c r="M8" s="3"/>
      <c r="N8" s="3"/>
    </row>
    <row r="9" spans="1:14" x14ac:dyDescent="0.25">
      <c r="L9" s="3"/>
      <c r="M9" s="3"/>
      <c r="N9" s="3"/>
    </row>
    <row r="10" spans="1:14" x14ac:dyDescent="0.25">
      <c r="L10" s="3"/>
      <c r="M10" s="3"/>
      <c r="N10" s="3"/>
    </row>
    <row r="11" spans="1:14" x14ac:dyDescent="0.25">
      <c r="L11" s="3"/>
      <c r="M11" s="3"/>
      <c r="N11" s="3"/>
    </row>
    <row r="13" spans="1:14" x14ac:dyDescent="0.25">
      <c r="D13" s="14">
        <f>SUM(D3:D12)</f>
        <v>12057.72</v>
      </c>
      <c r="E13" s="14">
        <f>SUM(E3:E12)</f>
        <v>2096.91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Assegnazione</vt:lpstr>
      <vt:lpstr>Auto</vt:lpstr>
      <vt:lpstr>Cellulare</vt:lpstr>
      <vt:lpstr>Interinale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Matteof Zcp051</dc:creator>
  <cp:keywords/>
  <dc:description/>
  <cp:lastModifiedBy>Gonzalo Alonso - Peralba Health Care Spa</cp:lastModifiedBy>
  <cp:revision/>
  <dcterms:created xsi:type="dcterms:W3CDTF">2025-11-01T09:36:40Z</dcterms:created>
  <dcterms:modified xsi:type="dcterms:W3CDTF">2026-04-15T08:26:17Z</dcterms:modified>
  <cp:category/>
  <cp:contentStatus/>
</cp:coreProperties>
</file>